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21.25" customWidth="1" min="1" max="1"/>
    <col width="12.125" customWidth="1" min="2" max="2"/>
    <col width="14.5" customWidth="1" min="3" max="3"/>
    <col width="14.125" customWidth="1" min="4" max="4"/>
    <col width="12.625" customWidth="1" min="5" max="5"/>
    <col width="12.5" customWidth="1" min="6" max="6"/>
    <col width="12.5" customWidth="1" min="7" max="7"/>
    <col width="13.75" customWidth="1" min="8" max="8"/>
    <col width="10.875" customWidth="1" min="9" max="9"/>
    <col width="19.25" customWidth="1" min="10" max="10"/>
    <col width="11" customWidth="1" min="11" max="11"/>
    <col width="20.875" customWidth="1" min="12" max="12"/>
    <col width="17" customWidth="1" min="13" max="13"/>
    <col width="22" customWidth="1" min="15" max="15"/>
  </cols>
  <sheetData>
    <row r="1" ht="20.1" customHeight="1">
      <c r="A1" s="1" t="inlineStr">
        <is>
          <t>L/C No.:</t>
        </is>
      </c>
      <c r="B1" s="1" t="inlineStr">
        <is>
          <t>装箱单</t>
        </is>
      </c>
    </row>
    <row r="2" ht="20.1" customHeight="1">
      <c r="A2" t="inlineStr">
        <is>
          <t>Contract No.:</t>
        </is>
      </c>
    </row>
    <row r="3" ht="20.1" customHeight="1">
      <c r="A3" t="inlineStr">
        <is>
          <t>Messrs: ** CORP.</t>
        </is>
      </c>
      <c r="B3" t="inlineStr">
        <is>
          <t>Packing List</t>
        </is>
      </c>
    </row>
    <row r="4" ht="20.1" customHeight="1">
      <c r="A4" t="inlineStr">
        <is>
          <t>From: SHENZHEN TO**（港口）</t>
        </is>
      </c>
    </row>
    <row r="6" ht="20.1" customHeight="1">
      <c r="A6" t="inlineStr">
        <is>
          <t>中文品名</t>
        </is>
      </c>
      <c r="B6" t="inlineStr">
        <is>
          <t>数量</t>
        </is>
      </c>
      <c r="C6" t="inlineStr">
        <is>
          <t>件数</t>
        </is>
      </c>
      <c r="D6" t="inlineStr">
        <is>
          <t>单件净重</t>
        </is>
      </c>
      <c r="E6" t="inlineStr">
        <is>
          <t>单件毛重</t>
        </is>
      </c>
      <c r="F6" t="inlineStr">
        <is>
          <t>总净重</t>
        </is>
      </c>
      <c r="G6" t="inlineStr">
        <is>
          <t>总毛重</t>
        </is>
      </c>
      <c r="H6" t="inlineStr">
        <is>
          <t>体积</t>
        </is>
      </c>
      <c r="I6" t="inlineStr">
        <is>
          <t>用途</t>
        </is>
      </c>
      <c r="J6" t="inlineStr">
        <is>
          <t>型号/款号</t>
        </is>
      </c>
      <c r="K6" t="inlineStr">
        <is>
          <t>牌子</t>
        </is>
      </c>
      <c r="L6" t="inlineStr">
        <is>
          <t>材质</t>
        </is>
      </c>
      <c r="M6" t="inlineStr">
        <is>
          <t>规格/尺寸</t>
        </is>
      </c>
      <c r="N6" t="inlineStr">
        <is>
          <t>品牌类型</t>
        </is>
      </c>
      <c r="O6" t="inlineStr">
        <is>
          <t>产品图片</t>
        </is>
      </c>
    </row>
    <row r="7" ht="20.1" customHeight="1">
      <c r="A7" t="inlineStr">
        <is>
          <t>Description</t>
        </is>
      </c>
      <c r="B7" t="inlineStr">
        <is>
          <t>QTY (pcs)</t>
        </is>
      </c>
      <c r="C7" t="inlineStr">
        <is>
          <t>Package (ctns)</t>
        </is>
      </c>
      <c r="D7" t="inlineStr">
        <is>
          <t>KGS</t>
        </is>
      </c>
      <c r="E7" t="inlineStr">
        <is>
          <t>KGS</t>
        </is>
      </c>
      <c r="F7" t="inlineStr">
        <is>
          <t>N.W.(kgs)</t>
        </is>
      </c>
      <c r="G7" t="inlineStr">
        <is>
          <t>G.W.(kgs)</t>
        </is>
      </c>
      <c r="H7" t="inlineStr">
        <is>
          <t>Volume(cbm)</t>
        </is>
      </c>
      <c r="I7" t="inlineStr">
        <is>
          <t>USAGE</t>
        </is>
      </c>
      <c r="K7" t="inlineStr">
        <is>
          <t>BRAND</t>
        </is>
      </c>
      <c r="L7" t="inlineStr">
        <is>
          <t>MATERIAL</t>
        </is>
      </c>
    </row>
    <row r="8" ht="62" customHeight="1">
      <c r="A8" t="inlineStr">
        <is>
          <t>单肩包</t>
        </is>
      </c>
      <c r="B8" t="n">
        <v>288</v>
      </c>
      <c r="C8" t="n">
        <v>18</v>
      </c>
      <c r="D8" t="n">
        <v>9.92</v>
      </c>
      <c r="E8" t="n">
        <v>11.45</v>
      </c>
      <c r="F8" t="n">
        <v>178.56</v>
      </c>
      <c r="G8" t="n">
        <v>206.1</v>
      </c>
      <c r="H8" t="n">
        <v>1.467864</v>
      </c>
      <c r="I8" t="inlineStr">
        <is>
          <t>put things</t>
        </is>
      </c>
      <c r="J8" t="inlineStr">
        <is>
          <t>1C56-1</t>
        </is>
      </c>
      <c r="K8" t="inlineStr">
        <is>
          <t>JW PEI</t>
        </is>
      </c>
      <c r="L8" t="inlineStr">
        <is>
          <t>PU</t>
        </is>
      </c>
      <c r="M8" t="inlineStr">
        <is>
          <t>58*38*37</t>
        </is>
      </c>
      <c r="N8" t="inlineStr">
        <is>
          <t>境内自主品牌</t>
        </is>
      </c>
      <c r="O8">
        <f>DISPIMG("ID_55669C9EE8A74C33B6A4A0165AFDCF15",1)</f>
        <v/>
      </c>
    </row>
    <row r="9" ht="62" customHeight="1">
      <c r="A9" t="inlineStr">
        <is>
          <t>单肩包</t>
        </is>
      </c>
      <c r="B9" t="n">
        <v>12</v>
      </c>
      <c r="C9" t="n">
        <v>1</v>
      </c>
      <c r="D9" t="n">
        <v>7.44</v>
      </c>
      <c r="E9" t="n">
        <v>9.050000000000001</v>
      </c>
      <c r="F9" t="n">
        <v>7.44</v>
      </c>
      <c r="G9" t="n">
        <v>9.050000000000001</v>
      </c>
      <c r="H9" t="n">
        <v>0.081548</v>
      </c>
      <c r="I9" t="inlineStr">
        <is>
          <t>put things</t>
        </is>
      </c>
      <c r="J9" t="inlineStr">
        <is>
          <t>1C56-1</t>
        </is>
      </c>
      <c r="K9" t="inlineStr">
        <is>
          <t>JW PEI</t>
        </is>
      </c>
      <c r="L9" t="inlineStr">
        <is>
          <t>PU</t>
        </is>
      </c>
      <c r="M9" t="inlineStr">
        <is>
          <t>58*38*37</t>
        </is>
      </c>
      <c r="N9" t="inlineStr">
        <is>
          <t>境内自主品牌</t>
        </is>
      </c>
      <c r="O9">
        <f>DISPIMG("ID_55669C9EE8A74C33B6A4A0165AFDCF15",1)</f>
        <v/>
      </c>
    </row>
    <row r="10" ht="62" customHeight="1">
      <c r="A10" t="inlineStr">
        <is>
          <t>手提包</t>
        </is>
      </c>
      <c r="B10" t="n">
        <v>60</v>
      </c>
      <c r="C10" t="n">
        <v>3</v>
      </c>
      <c r="D10" t="n">
        <v>12</v>
      </c>
      <c r="E10" t="n">
        <v>14</v>
      </c>
      <c r="F10" t="n">
        <v>36</v>
      </c>
      <c r="G10" t="n">
        <v>42</v>
      </c>
      <c r="H10" t="n">
        <v>0.244644</v>
      </c>
      <c r="I10" t="inlineStr">
        <is>
          <t>put things</t>
        </is>
      </c>
      <c r="J10" t="inlineStr">
        <is>
          <t>2T276-1</t>
        </is>
      </c>
      <c r="K10" t="inlineStr">
        <is>
          <t>JW PEI</t>
        </is>
      </c>
      <c r="L10" t="inlineStr">
        <is>
          <t>PU</t>
        </is>
      </c>
      <c r="M10" t="inlineStr">
        <is>
          <t>58*38*37</t>
        </is>
      </c>
      <c r="N10" t="inlineStr">
        <is>
          <t>境内自主品牌</t>
        </is>
      </c>
      <c r="O10">
        <f>DISPIMG("ID_92D6643ED8924642B9819C89017D1948",1)</f>
        <v/>
      </c>
    </row>
    <row r="11" ht="62" customHeight="1">
      <c r="A11" t="inlineStr">
        <is>
          <t>手提包</t>
        </is>
      </c>
      <c r="B11" t="n">
        <v>40</v>
      </c>
      <c r="C11" t="n">
        <v>2</v>
      </c>
      <c r="D11" t="n">
        <v>12</v>
      </c>
      <c r="E11" t="n">
        <v>14.05</v>
      </c>
      <c r="F11" t="n">
        <v>24</v>
      </c>
      <c r="G11" t="n">
        <v>28.1</v>
      </c>
      <c r="H11" t="n">
        <v>0.163096</v>
      </c>
      <c r="I11" t="inlineStr">
        <is>
          <t>put things</t>
        </is>
      </c>
      <c r="J11" t="inlineStr">
        <is>
          <t>2T276-2</t>
        </is>
      </c>
      <c r="K11" t="inlineStr">
        <is>
          <t>JW PEI</t>
        </is>
      </c>
      <c r="L11" t="inlineStr">
        <is>
          <t>PU</t>
        </is>
      </c>
      <c r="M11" t="inlineStr">
        <is>
          <t>58*38*37</t>
        </is>
      </c>
      <c r="N11" t="inlineStr">
        <is>
          <t>境内自主品牌</t>
        </is>
      </c>
      <c r="O11">
        <f>DISPIMG("ID_D0BC9FE1FFB041C0AB2BA093ACDDF616",1)</f>
        <v/>
      </c>
    </row>
    <row r="12" ht="62" customHeight="1">
      <c r="A12" t="inlineStr">
        <is>
          <t>单肩包</t>
        </is>
      </c>
      <c r="B12" t="n">
        <v>6</v>
      </c>
      <c r="C12" t="n">
        <v>1</v>
      </c>
      <c r="D12" t="n">
        <v>2.52</v>
      </c>
      <c r="E12" t="n">
        <v>5.4</v>
      </c>
      <c r="F12" t="n">
        <v>2.52</v>
      </c>
      <c r="G12" t="n">
        <v>5.4</v>
      </c>
      <c r="H12" t="n">
        <v>0.081548</v>
      </c>
      <c r="I12" t="inlineStr">
        <is>
          <t>put things</t>
        </is>
      </c>
      <c r="J12" t="inlineStr">
        <is>
          <t>5S61-32</t>
        </is>
      </c>
      <c r="K12" t="inlineStr">
        <is>
          <t>JW PEI</t>
        </is>
      </c>
      <c r="L12" t="inlineStr">
        <is>
          <t>帆布</t>
        </is>
      </c>
      <c r="M12" t="inlineStr">
        <is>
          <t>58*38*37</t>
        </is>
      </c>
      <c r="N12" t="inlineStr">
        <is>
          <t>境内自主品牌</t>
        </is>
      </c>
      <c r="O12">
        <f>DISPIMG("ID_2AE57B6C065D4D4EAFAFD674AF29BF0E",1)</f>
        <v/>
      </c>
    </row>
    <row r="13" ht="62" customHeight="1">
      <c r="A13" t="inlineStr">
        <is>
          <t>单肩包</t>
        </is>
      </c>
      <c r="B13" t="n">
        <v>24</v>
      </c>
      <c r="C13" t="n">
        <v>3</v>
      </c>
      <c r="D13" t="n">
        <v>3.36</v>
      </c>
      <c r="E13" t="n">
        <v>6.5</v>
      </c>
      <c r="F13" t="n">
        <v>10.08</v>
      </c>
      <c r="G13" t="n">
        <v>19.5</v>
      </c>
      <c r="H13" t="n">
        <v>0.244644</v>
      </c>
      <c r="I13" t="inlineStr">
        <is>
          <t>put things</t>
        </is>
      </c>
      <c r="J13" t="inlineStr">
        <is>
          <t>5S61-32</t>
        </is>
      </c>
      <c r="K13" t="inlineStr">
        <is>
          <t>JW PEI</t>
        </is>
      </c>
      <c r="L13" t="inlineStr">
        <is>
          <t>帆布</t>
        </is>
      </c>
      <c r="M13" t="inlineStr">
        <is>
          <t>58*38*37</t>
        </is>
      </c>
      <c r="N13" t="inlineStr">
        <is>
          <t>境内自主品牌</t>
        </is>
      </c>
      <c r="O13">
        <f>DISPIMG("ID_2AE57B6C065D4D4EAFAFD674AF29BF0E",1)</f>
        <v/>
      </c>
    </row>
    <row r="14" ht="62" customHeight="1">
      <c r="A14" t="inlineStr">
        <is>
          <t>单肩包</t>
        </is>
      </c>
      <c r="B14" t="n">
        <v>80</v>
      </c>
      <c r="C14" t="n">
        <v>10</v>
      </c>
      <c r="D14" t="n">
        <v>3.68</v>
      </c>
      <c r="E14" t="n">
        <v>6.85</v>
      </c>
      <c r="F14" t="n">
        <v>36.8</v>
      </c>
      <c r="G14" t="n">
        <v>68.5</v>
      </c>
      <c r="H14" t="n">
        <v>0.81548</v>
      </c>
      <c r="I14" t="inlineStr">
        <is>
          <t>put things</t>
        </is>
      </c>
      <c r="J14" t="inlineStr">
        <is>
          <t>5S61-50W</t>
        </is>
      </c>
      <c r="K14" t="inlineStr">
        <is>
          <t>JW PEI</t>
        </is>
      </c>
      <c r="L14" t="inlineStr">
        <is>
          <t>PU</t>
        </is>
      </c>
      <c r="M14" t="inlineStr">
        <is>
          <t>58*38*37</t>
        </is>
      </c>
      <c r="N14" t="inlineStr">
        <is>
          <t>境内自主品牌</t>
        </is>
      </c>
      <c r="O14">
        <f>DISPIMG("ID_F1F7A59497F040B7AADBC630F4153406",1)</f>
        <v/>
      </c>
    </row>
    <row r="15" ht="62" customHeight="1">
      <c r="A15" t="inlineStr">
        <is>
          <t>单肩包</t>
        </is>
      </c>
      <c r="B15" t="n">
        <v>4</v>
      </c>
      <c r="C15" t="n">
        <v>1</v>
      </c>
      <c r="D15" t="n">
        <v>1.36</v>
      </c>
      <c r="E15" t="n">
        <v>3.1</v>
      </c>
      <c r="F15" t="n">
        <v>1.36</v>
      </c>
      <c r="G15" t="n">
        <v>3.1</v>
      </c>
      <c r="H15" t="n">
        <v>0.081548</v>
      </c>
      <c r="I15" t="inlineStr">
        <is>
          <t>put things</t>
        </is>
      </c>
      <c r="J15" t="inlineStr">
        <is>
          <t>5S61-91</t>
        </is>
      </c>
      <c r="K15" t="inlineStr">
        <is>
          <t>JW PEI</t>
        </is>
      </c>
      <c r="L15" t="inlineStr">
        <is>
          <t>PU</t>
        </is>
      </c>
      <c r="M15" t="inlineStr">
        <is>
          <t>58*38*37</t>
        </is>
      </c>
      <c r="N15" t="inlineStr">
        <is>
          <t>境内自主品牌</t>
        </is>
      </c>
      <c r="O15">
        <f>DISPIMG("ID_0F4AEDF07834430F94522E1122351CC6",1)</f>
        <v/>
      </c>
    </row>
    <row r="16" ht="62" customHeight="1">
      <c r="A16" t="inlineStr">
        <is>
          <t>单肩包</t>
        </is>
      </c>
      <c r="B16" t="n">
        <v>96</v>
      </c>
      <c r="C16" t="n">
        <v>12</v>
      </c>
      <c r="D16" t="n">
        <v>3.52</v>
      </c>
      <c r="E16" t="n">
        <v>6.65</v>
      </c>
      <c r="F16" t="n">
        <v>42.24</v>
      </c>
      <c r="G16" t="n">
        <v>79.8</v>
      </c>
      <c r="H16" t="n">
        <v>0.978576</v>
      </c>
      <c r="I16" t="inlineStr">
        <is>
          <t>put things</t>
        </is>
      </c>
      <c r="J16" t="inlineStr">
        <is>
          <t>5S61-91</t>
        </is>
      </c>
      <c r="K16" t="inlineStr">
        <is>
          <t>JW PEI</t>
        </is>
      </c>
      <c r="L16" t="inlineStr">
        <is>
          <t>PU</t>
        </is>
      </c>
      <c r="M16" t="inlineStr">
        <is>
          <t>58*38*37</t>
        </is>
      </c>
      <c r="N16" t="inlineStr">
        <is>
          <t>境内自主品牌</t>
        </is>
      </c>
      <c r="O16">
        <f>DISPIMG("ID_0F4AEDF07834430F94522E1122351CC6",1)</f>
        <v/>
      </c>
    </row>
    <row r="17" ht="62" customHeight="1">
      <c r="A17" t="inlineStr">
        <is>
          <t>托特包</t>
        </is>
      </c>
      <c r="B17" t="n">
        <v>2</v>
      </c>
      <c r="C17" t="n">
        <v>1</v>
      </c>
      <c r="D17" t="n">
        <v>1.16</v>
      </c>
      <c r="E17" t="n">
        <v>2.45</v>
      </c>
      <c r="F17" t="n">
        <v>1.16</v>
      </c>
      <c r="G17" t="n">
        <v>2.45</v>
      </c>
      <c r="H17" t="n">
        <v>0.081548</v>
      </c>
      <c r="I17" t="inlineStr">
        <is>
          <t>put things</t>
        </is>
      </c>
      <c r="J17" t="inlineStr">
        <is>
          <t>8T001-1</t>
        </is>
      </c>
      <c r="K17" t="inlineStr">
        <is>
          <t>JW PEI</t>
        </is>
      </c>
      <c r="L17" t="inlineStr">
        <is>
          <t>PU</t>
        </is>
      </c>
      <c r="M17" t="inlineStr">
        <is>
          <t>58*38*37</t>
        </is>
      </c>
      <c r="N17" t="inlineStr">
        <is>
          <t>境内自主品牌</t>
        </is>
      </c>
      <c r="O17">
        <f>DISPIMG("ID_CDF949BB8A5F4703B2EE3D87DEF639CC",1)</f>
        <v/>
      </c>
    </row>
    <row r="18" ht="62" customHeight="1">
      <c r="A18" t="inlineStr">
        <is>
          <t>托特包</t>
        </is>
      </c>
      <c r="B18" t="n">
        <v>3</v>
      </c>
      <c r="C18" t="n">
        <v>1</v>
      </c>
      <c r="D18" t="n">
        <v>1.65</v>
      </c>
      <c r="E18" t="n">
        <v>3.4</v>
      </c>
      <c r="F18" t="n">
        <v>1.65</v>
      </c>
      <c r="G18" t="n">
        <v>3.4</v>
      </c>
      <c r="H18" t="n">
        <v>0.081548</v>
      </c>
      <c r="I18" t="inlineStr">
        <is>
          <t>put things</t>
        </is>
      </c>
      <c r="J18" t="inlineStr">
        <is>
          <t>8T001-12</t>
        </is>
      </c>
      <c r="K18" t="inlineStr">
        <is>
          <t>JW PEI</t>
        </is>
      </c>
      <c r="L18" t="inlineStr">
        <is>
          <t>帆布</t>
        </is>
      </c>
      <c r="M18" t="inlineStr">
        <is>
          <t>58*38*37</t>
        </is>
      </c>
      <c r="N18" t="inlineStr">
        <is>
          <t>境内自主品牌</t>
        </is>
      </c>
      <c r="O18">
        <f>DISPIMG("ID_09FAFA090DCF4B5E84A4D93EBC3111AA",1)</f>
        <v/>
      </c>
    </row>
    <row r="19" ht="62" customHeight="1">
      <c r="A19" t="inlineStr">
        <is>
          <t>托特包</t>
        </is>
      </c>
      <c r="B19" t="n">
        <v>2</v>
      </c>
      <c r="C19" t="n">
        <v>1</v>
      </c>
      <c r="D19" t="n">
        <v>1.16</v>
      </c>
      <c r="E19" t="n">
        <v>2.45</v>
      </c>
      <c r="F19" t="n">
        <v>1.16</v>
      </c>
      <c r="G19" t="n">
        <v>2.45</v>
      </c>
      <c r="H19" t="n">
        <v>0.081548</v>
      </c>
      <c r="I19" t="inlineStr">
        <is>
          <t>put things</t>
        </is>
      </c>
      <c r="J19" t="inlineStr">
        <is>
          <t>8T001-3</t>
        </is>
      </c>
      <c r="K19" t="inlineStr">
        <is>
          <t>JW PEI</t>
        </is>
      </c>
      <c r="L19" t="inlineStr">
        <is>
          <t>PU</t>
        </is>
      </c>
      <c r="M19" t="inlineStr">
        <is>
          <t>58*38*37</t>
        </is>
      </c>
      <c r="N19" t="inlineStr">
        <is>
          <t>境内自主品牌</t>
        </is>
      </c>
      <c r="O19">
        <f>DISPIMG("ID_3314FB0A63B945248B781865B150751D",1)</f>
        <v/>
      </c>
    </row>
    <row r="20" ht="62" customHeight="1">
      <c r="A20" t="inlineStr">
        <is>
          <t>芭蕾舞鞋</t>
        </is>
      </c>
      <c r="B20" t="n">
        <v>14</v>
      </c>
      <c r="C20" t="n">
        <v>1</v>
      </c>
      <c r="D20" t="n">
        <v>8.960000000000001</v>
      </c>
      <c r="E20" t="n">
        <v>10.35</v>
      </c>
      <c r="F20" t="n">
        <v>8.960000000000001</v>
      </c>
      <c r="G20" t="n">
        <v>10.35</v>
      </c>
      <c r="H20" t="n">
        <v>0.07290000000000001</v>
      </c>
      <c r="I20" t="inlineStr">
        <is>
          <t>wearing</t>
        </is>
      </c>
      <c r="J20" t="inlineStr">
        <is>
          <t>JF30521-1-6</t>
        </is>
      </c>
      <c r="K20" t="inlineStr">
        <is>
          <t>JW PEI</t>
        </is>
      </c>
      <c r="L20" t="inlineStr">
        <is>
          <t>表面材质：麂皮面料，鞋底材质：橡胶</t>
        </is>
      </c>
      <c r="M20" t="inlineStr">
        <is>
          <t>60*30*40.5</t>
        </is>
      </c>
      <c r="N20" t="inlineStr">
        <is>
          <t>境内自主品牌</t>
        </is>
      </c>
      <c r="O20">
        <f>DISPIMG("ID_691C4366F06843BF9C07F3B973AD5503",1)</f>
        <v/>
      </c>
    </row>
    <row r="21" ht="62" customHeight="1">
      <c r="A21" t="inlineStr">
        <is>
          <t>芭蕾舞鞋</t>
        </is>
      </c>
      <c r="B21" t="n">
        <v>6</v>
      </c>
      <c r="C21" t="n">
        <v>1</v>
      </c>
      <c r="D21" t="n">
        <v>3.84</v>
      </c>
      <c r="E21" t="n">
        <v>4.7</v>
      </c>
      <c r="F21" t="n">
        <v>3.84</v>
      </c>
      <c r="G21" t="n">
        <v>4.7</v>
      </c>
      <c r="H21" t="n">
        <v>0.036</v>
      </c>
      <c r="I21" t="inlineStr">
        <is>
          <t>wearing</t>
        </is>
      </c>
      <c r="J21" t="inlineStr">
        <is>
          <t>JF30521-1-6</t>
        </is>
      </c>
      <c r="K21" t="inlineStr">
        <is>
          <t>JW PEI</t>
        </is>
      </c>
      <c r="L21" t="inlineStr">
        <is>
          <t>表面材质：麂皮面料，鞋底材质：橡胶</t>
        </is>
      </c>
      <c r="M21" t="inlineStr">
        <is>
          <t>40*30*30</t>
        </is>
      </c>
      <c r="N21" t="inlineStr">
        <is>
          <t>境内自主品牌</t>
        </is>
      </c>
      <c r="O21">
        <f>DISPIMG("ID_691C4366F06843BF9C07F3B973AD5503",1)</f>
        <v/>
      </c>
    </row>
    <row r="22" ht="62" customHeight="1">
      <c r="A22" t="inlineStr">
        <is>
          <t>芭蕾舞鞋</t>
        </is>
      </c>
      <c r="B22" t="n">
        <v>14</v>
      </c>
      <c r="C22" t="n">
        <v>1</v>
      </c>
      <c r="D22" t="n">
        <v>9.24</v>
      </c>
      <c r="E22" t="n">
        <v>10.8</v>
      </c>
      <c r="F22" t="n">
        <v>9.24</v>
      </c>
      <c r="G22" t="n">
        <v>10.8</v>
      </c>
      <c r="H22" t="n">
        <v>0.07290000000000001</v>
      </c>
      <c r="I22" t="inlineStr">
        <is>
          <t>wearing</t>
        </is>
      </c>
      <c r="J22" t="inlineStr">
        <is>
          <t>JF30521-1-7</t>
        </is>
      </c>
      <c r="K22" t="inlineStr">
        <is>
          <t>JW PEI</t>
        </is>
      </c>
      <c r="L22" t="inlineStr">
        <is>
          <t>表面材质：麂皮面料，鞋底材质：橡胶</t>
        </is>
      </c>
      <c r="M22" t="inlineStr">
        <is>
          <t>60*30*40.5</t>
        </is>
      </c>
      <c r="N22" t="inlineStr">
        <is>
          <t>境内自主品牌</t>
        </is>
      </c>
      <c r="O22">
        <f>DISPIMG("ID_691C4366F06843BF9C07F3B973AD5503",1)</f>
        <v/>
      </c>
    </row>
    <row r="23" ht="62" customHeight="1">
      <c r="A23" t="inlineStr">
        <is>
          <t>芭蕾舞鞋</t>
        </is>
      </c>
      <c r="B23" t="n">
        <v>14</v>
      </c>
      <c r="C23" t="n">
        <v>1</v>
      </c>
      <c r="D23" t="n">
        <v>9.24</v>
      </c>
      <c r="E23" t="n">
        <v>10.85</v>
      </c>
      <c r="F23" t="n">
        <v>9.24</v>
      </c>
      <c r="G23" t="n">
        <v>10.85</v>
      </c>
      <c r="H23" t="n">
        <v>0.07290000000000001</v>
      </c>
      <c r="I23" t="inlineStr">
        <is>
          <t>wearing</t>
        </is>
      </c>
      <c r="J23" t="inlineStr">
        <is>
          <t>JF30521-1-7</t>
        </is>
      </c>
      <c r="K23" t="inlineStr">
        <is>
          <t>JW PEI</t>
        </is>
      </c>
      <c r="L23" t="inlineStr">
        <is>
          <t>表面材质：麂皮面料，鞋底材质：橡胶</t>
        </is>
      </c>
      <c r="M23" t="inlineStr">
        <is>
          <t>60*30*40.5</t>
        </is>
      </c>
      <c r="N23" t="inlineStr">
        <is>
          <t>境内自主品牌</t>
        </is>
      </c>
      <c r="O23">
        <f>DISPIMG("ID_691C4366F06843BF9C07F3B973AD5503",1)</f>
        <v/>
      </c>
    </row>
    <row r="24" ht="62" customHeight="1">
      <c r="A24" t="inlineStr">
        <is>
          <t>芭蕾舞鞋</t>
        </is>
      </c>
      <c r="B24" t="n">
        <v>7</v>
      </c>
      <c r="C24" t="n">
        <v>1</v>
      </c>
      <c r="D24" t="n">
        <v>4.62</v>
      </c>
      <c r="E24" t="n">
        <v>5.6</v>
      </c>
      <c r="F24" t="n">
        <v>4.62</v>
      </c>
      <c r="G24" t="n">
        <v>5.6</v>
      </c>
      <c r="H24" t="n">
        <v>0.048</v>
      </c>
      <c r="I24" t="inlineStr">
        <is>
          <t>wearing</t>
        </is>
      </c>
      <c r="J24" t="inlineStr">
        <is>
          <t>JF30521-1-7</t>
        </is>
      </c>
      <c r="K24" t="inlineStr">
        <is>
          <t>JW PEI</t>
        </is>
      </c>
      <c r="L24" t="inlineStr">
        <is>
          <t>表面材质：麂皮面料，鞋底材质：橡胶</t>
        </is>
      </c>
      <c r="M24" t="inlineStr">
        <is>
          <t>40*30*40</t>
        </is>
      </c>
      <c r="N24" t="inlineStr">
        <is>
          <t>境内自主品牌</t>
        </is>
      </c>
      <c r="O24">
        <f>DISPIMG("ID_691C4366F06843BF9C07F3B973AD5503",1)</f>
        <v/>
      </c>
    </row>
    <row r="25" ht="62" customHeight="1">
      <c r="A25" t="inlineStr">
        <is>
          <t>芭蕾舞鞋</t>
        </is>
      </c>
      <c r="B25" t="n">
        <v>14</v>
      </c>
      <c r="C25" t="n">
        <v>1</v>
      </c>
      <c r="D25" t="n">
        <v>8.960000000000001</v>
      </c>
      <c r="E25" t="n">
        <v>10.8</v>
      </c>
      <c r="F25" t="n">
        <v>8.960000000000001</v>
      </c>
      <c r="G25" t="n">
        <v>10.8</v>
      </c>
      <c r="H25" t="n">
        <v>0.07290000000000001</v>
      </c>
      <c r="I25" t="inlineStr">
        <is>
          <t>wearing</t>
        </is>
      </c>
      <c r="J25" t="inlineStr">
        <is>
          <t>JF30521-1-7.5</t>
        </is>
      </c>
      <c r="K25" t="inlineStr">
        <is>
          <t>JW PEI</t>
        </is>
      </c>
      <c r="L25" t="inlineStr">
        <is>
          <t>表面材质：麂皮面料，鞋底材质：橡胶</t>
        </is>
      </c>
      <c r="M25" t="inlineStr">
        <is>
          <t>60*30*40.5</t>
        </is>
      </c>
      <c r="N25" t="inlineStr">
        <is>
          <t>境内自主品牌</t>
        </is>
      </c>
      <c r="O25">
        <f>DISPIMG("ID_691C4366F06843BF9C07F3B973AD5503",1)</f>
        <v/>
      </c>
    </row>
    <row r="26" ht="62" customHeight="1">
      <c r="A26" t="inlineStr">
        <is>
          <t>芭蕾舞鞋</t>
        </is>
      </c>
      <c r="B26" t="n">
        <v>14</v>
      </c>
      <c r="C26" t="n">
        <v>1</v>
      </c>
      <c r="D26" t="n">
        <v>8.960000000000001</v>
      </c>
      <c r="E26" t="n">
        <v>10.85</v>
      </c>
      <c r="F26" t="n">
        <v>8.960000000000001</v>
      </c>
      <c r="G26" t="n">
        <v>10.85</v>
      </c>
      <c r="H26" t="n">
        <v>0.07290000000000001</v>
      </c>
      <c r="I26" t="inlineStr">
        <is>
          <t>wearing</t>
        </is>
      </c>
      <c r="J26" t="inlineStr">
        <is>
          <t>JF30521-1-7.5</t>
        </is>
      </c>
      <c r="K26" t="inlineStr">
        <is>
          <t>JW PEI</t>
        </is>
      </c>
      <c r="L26" t="inlineStr">
        <is>
          <t>表面材质：麂皮面料，鞋底材质：橡胶</t>
        </is>
      </c>
      <c r="M26" t="inlineStr">
        <is>
          <t>60*30*40.5</t>
        </is>
      </c>
      <c r="N26" t="inlineStr">
        <is>
          <t>境内自主品牌</t>
        </is>
      </c>
      <c r="O26">
        <f>DISPIMG("ID_691C4366F06843BF9C07F3B973AD5503",1)</f>
        <v/>
      </c>
    </row>
    <row r="27" ht="62" customHeight="1">
      <c r="A27" t="inlineStr">
        <is>
          <t>芭蕾舞鞋</t>
        </is>
      </c>
      <c r="B27" t="n">
        <v>7</v>
      </c>
      <c r="C27" t="n">
        <v>1</v>
      </c>
      <c r="D27" t="n">
        <v>4.48</v>
      </c>
      <c r="E27" t="n">
        <v>5.55</v>
      </c>
      <c r="F27" t="n">
        <v>4.48</v>
      </c>
      <c r="G27" t="n">
        <v>5.55</v>
      </c>
      <c r="H27" t="n">
        <v>0.048</v>
      </c>
      <c r="I27" t="inlineStr">
        <is>
          <t>wearing</t>
        </is>
      </c>
      <c r="J27" t="inlineStr">
        <is>
          <t>JF30521-1-7.5</t>
        </is>
      </c>
      <c r="K27" t="inlineStr">
        <is>
          <t>JW PEI</t>
        </is>
      </c>
      <c r="L27" t="inlineStr">
        <is>
          <t>表面材质：麂皮面料，鞋底材质：橡胶</t>
        </is>
      </c>
      <c r="M27" t="inlineStr">
        <is>
          <t>40*30*40</t>
        </is>
      </c>
      <c r="N27" t="inlineStr">
        <is>
          <t>境内自主品牌</t>
        </is>
      </c>
      <c r="O27">
        <f>DISPIMG("ID_691C4366F06843BF9C07F3B973AD5503",1)</f>
        <v/>
      </c>
    </row>
    <row r="28" ht="62" customHeight="1">
      <c r="A28" t="inlineStr">
        <is>
          <t>芭蕾舞鞋</t>
        </is>
      </c>
      <c r="B28" t="n">
        <v>28</v>
      </c>
      <c r="C28" t="n">
        <v>2</v>
      </c>
      <c r="D28" t="n">
        <v>9.1</v>
      </c>
      <c r="E28" t="n">
        <v>11.3</v>
      </c>
      <c r="F28" t="n">
        <v>18.2</v>
      </c>
      <c r="G28" t="n">
        <v>22.6</v>
      </c>
      <c r="H28" t="n">
        <v>0.1458</v>
      </c>
      <c r="I28" t="inlineStr">
        <is>
          <t>wearing</t>
        </is>
      </c>
      <c r="J28" t="inlineStr">
        <is>
          <t>JF30521-1-8</t>
        </is>
      </c>
      <c r="K28" t="inlineStr">
        <is>
          <t>JW PEI</t>
        </is>
      </c>
      <c r="L28" t="inlineStr">
        <is>
          <t>表面材质：麂皮面料，鞋底材质：橡胶</t>
        </is>
      </c>
      <c r="M28" t="inlineStr">
        <is>
          <t>60*30*40.5</t>
        </is>
      </c>
      <c r="N28" t="inlineStr">
        <is>
          <t>境内自主品牌</t>
        </is>
      </c>
      <c r="O28">
        <f>DISPIMG("ID_691C4366F06843BF9C07F3B973AD5503",1)</f>
        <v/>
      </c>
    </row>
    <row r="29" ht="62" customHeight="1">
      <c r="A29" t="inlineStr">
        <is>
          <t>芭蕾舞鞋</t>
        </is>
      </c>
      <c r="B29" t="n">
        <v>2</v>
      </c>
      <c r="C29" t="n">
        <v>1</v>
      </c>
      <c r="D29" t="n">
        <v>1.3</v>
      </c>
      <c r="E29" t="n">
        <v>2.05</v>
      </c>
      <c r="F29" t="n">
        <v>1.3</v>
      </c>
      <c r="G29" t="n">
        <v>2.05</v>
      </c>
      <c r="H29" t="n">
        <v>0.014025</v>
      </c>
      <c r="I29" t="inlineStr">
        <is>
          <t>wearing</t>
        </is>
      </c>
      <c r="J29" t="inlineStr">
        <is>
          <t>JF30521-1-8</t>
        </is>
      </c>
      <c r="K29" t="inlineStr">
        <is>
          <t>JW PEI</t>
        </is>
      </c>
      <c r="L29" t="inlineStr">
        <is>
          <t>表面材质：麂皮面料，鞋底材质：橡胶</t>
        </is>
      </c>
      <c r="M29" t="inlineStr">
        <is>
          <t>34*33*12.5</t>
        </is>
      </c>
      <c r="N29" t="inlineStr">
        <is>
          <t>境内自主品牌</t>
        </is>
      </c>
      <c r="O29">
        <f>DISPIMG("ID_691C4366F06843BF9C07F3B973AD5503",1)</f>
        <v/>
      </c>
    </row>
    <row r="30" ht="62" customHeight="1">
      <c r="A30" t="inlineStr">
        <is>
          <t>芭蕾舞鞋</t>
        </is>
      </c>
      <c r="B30" t="n">
        <v>10</v>
      </c>
      <c r="C30" t="n">
        <v>1</v>
      </c>
      <c r="D30" t="n">
        <v>6.7</v>
      </c>
      <c r="E30" t="n">
        <v>8.75</v>
      </c>
      <c r="F30" t="n">
        <v>6.7</v>
      </c>
      <c r="G30" t="n">
        <v>8.75</v>
      </c>
      <c r="H30" t="n">
        <v>0.081548</v>
      </c>
      <c r="I30" t="inlineStr">
        <is>
          <t>wearing</t>
        </is>
      </c>
      <c r="J30" t="inlineStr">
        <is>
          <t>JF30521-1-8.5</t>
        </is>
      </c>
      <c r="K30" t="inlineStr">
        <is>
          <t>JW PEI</t>
        </is>
      </c>
      <c r="L30" t="inlineStr">
        <is>
          <t>表面材质：麂皮面料，鞋底材质：橡胶</t>
        </is>
      </c>
      <c r="M30" t="inlineStr">
        <is>
          <t>58*38*37</t>
        </is>
      </c>
      <c r="N30" t="inlineStr">
        <is>
          <t>境内自主品牌</t>
        </is>
      </c>
      <c r="O30">
        <f>DISPIMG("ID_691C4366F06843BF9C07F3B973AD5503",1)</f>
        <v/>
      </c>
    </row>
    <row r="31" ht="62" customHeight="1">
      <c r="A31" t="inlineStr">
        <is>
          <t>芭蕾舞鞋</t>
        </is>
      </c>
      <c r="B31" t="n">
        <v>10</v>
      </c>
      <c r="C31" t="n">
        <v>1</v>
      </c>
      <c r="D31" t="n">
        <v>6.7</v>
      </c>
      <c r="E31" t="n">
        <v>8.800000000000001</v>
      </c>
      <c r="F31" t="n">
        <v>6.7</v>
      </c>
      <c r="G31" t="n">
        <v>8.800000000000001</v>
      </c>
      <c r="H31" t="n">
        <v>0.081548</v>
      </c>
      <c r="I31" t="inlineStr">
        <is>
          <t>wearing</t>
        </is>
      </c>
      <c r="J31" t="inlineStr">
        <is>
          <t>JF30521-1-8.5</t>
        </is>
      </c>
      <c r="K31" t="inlineStr">
        <is>
          <t>JW PEI</t>
        </is>
      </c>
      <c r="L31" t="inlineStr">
        <is>
          <t>表面材质：麂皮面料，鞋底材质：橡胶</t>
        </is>
      </c>
      <c r="M31" t="inlineStr">
        <is>
          <t>58*38*37</t>
        </is>
      </c>
      <c r="N31" t="inlineStr">
        <is>
          <t>境内自主品牌</t>
        </is>
      </c>
      <c r="O31">
        <f>DISPIMG("ID_691C4366F06843BF9C07F3B973AD5503",1)</f>
        <v/>
      </c>
    </row>
    <row r="32" ht="62" customHeight="1">
      <c r="A32" t="inlineStr">
        <is>
          <t>芭蕾舞鞋</t>
        </is>
      </c>
      <c r="B32" t="n">
        <v>1</v>
      </c>
      <c r="C32" t="n">
        <v>1</v>
      </c>
      <c r="D32" t="n">
        <v>0.64</v>
      </c>
      <c r="E32" t="n">
        <v>0.9</v>
      </c>
      <c r="F32" t="n">
        <v>0.64</v>
      </c>
      <c r="G32" t="n">
        <v>0.9</v>
      </c>
      <c r="H32" t="n">
        <v>0.008500000000000001</v>
      </c>
      <c r="I32" t="inlineStr">
        <is>
          <t>wearing</t>
        </is>
      </c>
      <c r="J32" t="inlineStr">
        <is>
          <t>JF30521-9-6</t>
        </is>
      </c>
      <c r="K32" t="inlineStr">
        <is>
          <t>JW PEI</t>
        </is>
      </c>
      <c r="L32" t="inlineStr">
        <is>
          <t>表面材质：麂皮面料，鞋底材质：橡胶</t>
        </is>
      </c>
      <c r="M32" t="inlineStr">
        <is>
          <t>34*20*12.5</t>
        </is>
      </c>
      <c r="N32" t="inlineStr">
        <is>
          <t>境内自主品牌</t>
        </is>
      </c>
      <c r="O32">
        <f>DISPIMG("ID_9A55BFEA198349F988D4B61B896DEFF2",1)</f>
        <v/>
      </c>
    </row>
    <row r="33" ht="62" customHeight="1">
      <c r="A33" t="inlineStr">
        <is>
          <t>芭蕾舞鞋</t>
        </is>
      </c>
      <c r="B33" t="n">
        <v>14</v>
      </c>
      <c r="C33" t="n">
        <v>1</v>
      </c>
      <c r="D33" t="n">
        <v>8.960000000000001</v>
      </c>
      <c r="E33" t="n">
        <v>10.3</v>
      </c>
      <c r="F33" t="n">
        <v>8.960000000000001</v>
      </c>
      <c r="G33" t="n">
        <v>10.3</v>
      </c>
      <c r="H33" t="n">
        <v>0.07290000000000001</v>
      </c>
      <c r="I33" t="inlineStr">
        <is>
          <t>wearing</t>
        </is>
      </c>
      <c r="J33" t="inlineStr">
        <is>
          <t>JF30521-9-6</t>
        </is>
      </c>
      <c r="K33" t="inlineStr">
        <is>
          <t>JW PEI</t>
        </is>
      </c>
      <c r="L33" t="inlineStr">
        <is>
          <t>表面材质：麂皮面料，鞋底材质：橡胶</t>
        </is>
      </c>
      <c r="M33" t="inlineStr">
        <is>
          <t>60*30*40.5</t>
        </is>
      </c>
      <c r="N33" t="inlineStr">
        <is>
          <t>境内自主品牌</t>
        </is>
      </c>
      <c r="O33">
        <f>DISPIMG("ID_9A55BFEA198349F988D4B61B896DEFF2",1)</f>
        <v/>
      </c>
    </row>
    <row r="34" ht="62" customHeight="1">
      <c r="A34" t="inlineStr">
        <is>
          <t>芭蕾舞鞋</t>
        </is>
      </c>
      <c r="B34" t="n">
        <v>14</v>
      </c>
      <c r="C34" t="n">
        <v>1</v>
      </c>
      <c r="D34" t="n">
        <v>9.24</v>
      </c>
      <c r="E34" t="n">
        <v>10.85</v>
      </c>
      <c r="F34" t="n">
        <v>9.24</v>
      </c>
      <c r="G34" t="n">
        <v>10.85</v>
      </c>
      <c r="H34" t="n">
        <v>0.07290000000000001</v>
      </c>
      <c r="I34" t="inlineStr">
        <is>
          <t>wearing</t>
        </is>
      </c>
      <c r="J34" t="inlineStr">
        <is>
          <t>JF30521-9-7</t>
        </is>
      </c>
      <c r="K34" t="inlineStr">
        <is>
          <t>JW PEI</t>
        </is>
      </c>
      <c r="L34" t="inlineStr">
        <is>
          <t>表面材质：麂皮面料，鞋底材质：橡胶</t>
        </is>
      </c>
      <c r="M34" t="inlineStr">
        <is>
          <t>60*30*40.5</t>
        </is>
      </c>
      <c r="N34" t="inlineStr">
        <is>
          <t>境内自主品牌</t>
        </is>
      </c>
      <c r="O34">
        <f>DISPIMG("ID_9A55BFEA198349F988D4B61B896DEFF2",1)</f>
        <v/>
      </c>
    </row>
    <row r="35" ht="62" customHeight="1">
      <c r="A35" t="inlineStr">
        <is>
          <t>芭蕾舞鞋</t>
        </is>
      </c>
      <c r="B35" t="n">
        <v>11</v>
      </c>
      <c r="C35" t="n">
        <v>1</v>
      </c>
      <c r="D35" t="n">
        <v>7.26</v>
      </c>
      <c r="E35" t="n">
        <v>8.800000000000001</v>
      </c>
      <c r="F35" t="n">
        <v>7.26</v>
      </c>
      <c r="G35" t="n">
        <v>8.800000000000001</v>
      </c>
      <c r="H35" t="n">
        <v>0.07290000000000001</v>
      </c>
      <c r="I35" t="inlineStr">
        <is>
          <t>wearing</t>
        </is>
      </c>
      <c r="J35" t="inlineStr">
        <is>
          <t>JF30521-9-7</t>
        </is>
      </c>
      <c r="K35" t="inlineStr">
        <is>
          <t>JW PEI</t>
        </is>
      </c>
      <c r="L35" t="inlineStr">
        <is>
          <t>表面材质：麂皮面料，鞋底材质：橡胶</t>
        </is>
      </c>
      <c r="M35" t="inlineStr">
        <is>
          <t>60*30*40.5</t>
        </is>
      </c>
      <c r="N35" t="inlineStr">
        <is>
          <t>境内自主品牌</t>
        </is>
      </c>
      <c r="O35">
        <f>DISPIMG("ID_9A55BFEA198349F988D4B61B896DEFF2",1)</f>
        <v/>
      </c>
    </row>
    <row r="36" ht="62" customHeight="1">
      <c r="A36" t="inlineStr">
        <is>
          <t>芭蕾舞鞋</t>
        </is>
      </c>
      <c r="B36" t="n">
        <v>14</v>
      </c>
      <c r="C36" t="n">
        <v>1</v>
      </c>
      <c r="D36" t="n">
        <v>8.960000000000001</v>
      </c>
      <c r="E36" t="n">
        <v>10.85</v>
      </c>
      <c r="F36" t="n">
        <v>8.960000000000001</v>
      </c>
      <c r="G36" t="n">
        <v>10.85</v>
      </c>
      <c r="H36" t="n">
        <v>0.07290000000000001</v>
      </c>
      <c r="I36" t="inlineStr">
        <is>
          <t>wearing</t>
        </is>
      </c>
      <c r="J36" t="inlineStr">
        <is>
          <t>JF30521-9-7.5</t>
        </is>
      </c>
      <c r="K36" t="inlineStr">
        <is>
          <t>JW PEI</t>
        </is>
      </c>
      <c r="L36" t="inlineStr">
        <is>
          <t>表面材质：麂皮面料，鞋底材质：橡胶</t>
        </is>
      </c>
      <c r="M36" t="inlineStr">
        <is>
          <t>60*30*40.5</t>
        </is>
      </c>
      <c r="N36" t="inlineStr">
        <is>
          <t>境内自主品牌</t>
        </is>
      </c>
      <c r="O36">
        <f>DISPIMG("ID_9A55BFEA198349F988D4B61B896DEFF2",1)</f>
        <v/>
      </c>
    </row>
    <row r="37" ht="62" customHeight="1">
      <c r="A37" t="inlineStr">
        <is>
          <t>芭蕾舞鞋</t>
        </is>
      </c>
      <c r="B37" t="n">
        <v>11</v>
      </c>
      <c r="C37" t="n">
        <v>1</v>
      </c>
      <c r="D37" t="n">
        <v>7.04</v>
      </c>
      <c r="E37" t="n">
        <v>8.800000000000001</v>
      </c>
      <c r="F37" t="n">
        <v>7.04</v>
      </c>
      <c r="G37" t="n">
        <v>8.800000000000001</v>
      </c>
      <c r="H37" t="n">
        <v>0.07290000000000001</v>
      </c>
      <c r="I37" t="inlineStr">
        <is>
          <t>wearing</t>
        </is>
      </c>
      <c r="J37" t="inlineStr">
        <is>
          <t>JF30521-9-7.5</t>
        </is>
      </c>
      <c r="K37" t="inlineStr">
        <is>
          <t>JW PEI</t>
        </is>
      </c>
      <c r="L37" t="inlineStr">
        <is>
          <t>表面材质：麂皮面料，鞋底材质：橡胶</t>
        </is>
      </c>
      <c r="M37" t="inlineStr">
        <is>
          <t>60*30*40.5</t>
        </is>
      </c>
      <c r="N37" t="inlineStr">
        <is>
          <t>境内自主品牌</t>
        </is>
      </c>
      <c r="O37">
        <f>DISPIMG("ID_9A55BFEA198349F988D4B61B896DEFF2",1)</f>
        <v/>
      </c>
    </row>
    <row r="38" ht="62" customHeight="1">
      <c r="A38" t="inlineStr">
        <is>
          <t>芭蕾舞鞋</t>
        </is>
      </c>
      <c r="B38" t="n">
        <v>14</v>
      </c>
      <c r="C38" t="n">
        <v>1</v>
      </c>
      <c r="D38" t="n">
        <v>9.1</v>
      </c>
      <c r="E38" t="n">
        <v>11.25</v>
      </c>
      <c r="F38" t="n">
        <v>9.1</v>
      </c>
      <c r="G38" t="n">
        <v>11.25</v>
      </c>
      <c r="H38" t="n">
        <v>0.07290000000000001</v>
      </c>
      <c r="I38" t="inlineStr">
        <is>
          <t>wearing</t>
        </is>
      </c>
      <c r="J38" t="inlineStr">
        <is>
          <t>JF30521-9-8</t>
        </is>
      </c>
      <c r="K38" t="inlineStr">
        <is>
          <t>JW PEI</t>
        </is>
      </c>
      <c r="L38" t="inlineStr">
        <is>
          <t>表面材质：麂皮面料，鞋底材质：橡胶</t>
        </is>
      </c>
      <c r="M38" t="inlineStr">
        <is>
          <t>60*30*40.5</t>
        </is>
      </c>
      <c r="N38" t="inlineStr">
        <is>
          <t>境内自主品牌</t>
        </is>
      </c>
      <c r="O38">
        <f>DISPIMG("ID_9A55BFEA198349F988D4B61B896DEFF2",1)</f>
        <v/>
      </c>
    </row>
    <row r="39" ht="62" customHeight="1">
      <c r="A39" t="inlineStr">
        <is>
          <t>芭蕾舞鞋</t>
        </is>
      </c>
      <c r="B39" t="n">
        <v>6</v>
      </c>
      <c r="C39" t="n">
        <v>1</v>
      </c>
      <c r="D39" t="n">
        <v>3.9</v>
      </c>
      <c r="E39" t="n">
        <v>5.05</v>
      </c>
      <c r="F39" t="n">
        <v>3.9</v>
      </c>
      <c r="G39" t="n">
        <v>5.05</v>
      </c>
      <c r="H39" t="n">
        <v>0.036</v>
      </c>
      <c r="I39" t="inlineStr">
        <is>
          <t>wearing</t>
        </is>
      </c>
      <c r="J39" t="inlineStr">
        <is>
          <t>JF30521-9-8</t>
        </is>
      </c>
      <c r="K39" t="inlineStr">
        <is>
          <t>JW PEI</t>
        </is>
      </c>
      <c r="L39" t="inlineStr">
        <is>
          <t>表面材质：麂皮面料，鞋底材质：橡胶</t>
        </is>
      </c>
      <c r="M39" t="inlineStr">
        <is>
          <t>40*30*30</t>
        </is>
      </c>
      <c r="N39" t="inlineStr">
        <is>
          <t>境内自主品牌</t>
        </is>
      </c>
      <c r="O39">
        <f>DISPIMG("ID_9A55BFEA198349F988D4B61B896DEFF2",1)</f>
        <v/>
      </c>
    </row>
    <row r="40" ht="62" customHeight="1">
      <c r="A40" t="inlineStr">
        <is>
          <t>芭蕾舞鞋</t>
        </is>
      </c>
      <c r="B40" t="n">
        <v>5</v>
      </c>
      <c r="C40" t="n">
        <v>1</v>
      </c>
      <c r="D40" t="n">
        <v>3.35</v>
      </c>
      <c r="E40" t="n">
        <v>4.35</v>
      </c>
      <c r="F40" t="n">
        <v>3.35</v>
      </c>
      <c r="G40" t="n">
        <v>4.35</v>
      </c>
      <c r="H40" t="n">
        <v>0.048</v>
      </c>
      <c r="I40" t="inlineStr">
        <is>
          <t>wearing</t>
        </is>
      </c>
      <c r="J40" t="inlineStr">
        <is>
          <t>JF30521-9-8.5</t>
        </is>
      </c>
      <c r="K40" t="inlineStr">
        <is>
          <t>JW PEI</t>
        </is>
      </c>
      <c r="L40" t="inlineStr">
        <is>
          <t>表面材质：麂皮面料，鞋底材质：橡胶</t>
        </is>
      </c>
      <c r="M40" t="inlineStr">
        <is>
          <t>40*30*40</t>
        </is>
      </c>
      <c r="N40" t="inlineStr">
        <is>
          <t>境内自主品牌</t>
        </is>
      </c>
      <c r="O40">
        <f>DISPIMG("ID_9A55BFEA198349F988D4B61B896DEFF2",1)</f>
        <v/>
      </c>
    </row>
    <row r="41" ht="62" customHeight="1">
      <c r="A41" t="inlineStr">
        <is>
          <t>芭蕾舞鞋</t>
        </is>
      </c>
      <c r="B41" t="n">
        <v>10</v>
      </c>
      <c r="C41" t="n">
        <v>1</v>
      </c>
      <c r="D41" t="n">
        <v>6.7</v>
      </c>
      <c r="E41" t="n">
        <v>8.85</v>
      </c>
      <c r="F41" t="n">
        <v>6.7</v>
      </c>
      <c r="G41" t="n">
        <v>8.85</v>
      </c>
      <c r="H41" t="n">
        <v>0.081548</v>
      </c>
      <c r="I41" t="inlineStr">
        <is>
          <t>wearing</t>
        </is>
      </c>
      <c r="J41" t="inlineStr">
        <is>
          <t>JF30521-9-8.5</t>
        </is>
      </c>
      <c r="K41" t="inlineStr">
        <is>
          <t>JW PEI</t>
        </is>
      </c>
      <c r="L41" t="inlineStr">
        <is>
          <t>表面材质：麂皮面料，鞋底材质：橡胶</t>
        </is>
      </c>
      <c r="M41" t="inlineStr">
        <is>
          <t>58*38*37</t>
        </is>
      </c>
      <c r="N41" t="inlineStr">
        <is>
          <t>境内自主品牌</t>
        </is>
      </c>
      <c r="O41">
        <f>DISPIMG("ID_9A55BFEA198349F988D4B61B896DEFF2",1)</f>
        <v/>
      </c>
    </row>
    <row r="42" ht="62" customHeight="1">
      <c r="A42" t="inlineStr">
        <is>
          <t>单肩包</t>
        </is>
      </c>
      <c r="B42" t="n">
        <v>40</v>
      </c>
      <c r="C42" t="n">
        <v>2</v>
      </c>
      <c r="D42" t="n">
        <v>9.4</v>
      </c>
      <c r="E42" t="n">
        <v>11.4</v>
      </c>
      <c r="F42" t="n">
        <v>18.8</v>
      </c>
      <c r="G42" t="n">
        <v>22.8</v>
      </c>
      <c r="H42" t="n">
        <v>0.163096</v>
      </c>
      <c r="I42" t="inlineStr">
        <is>
          <t>put things</t>
        </is>
      </c>
      <c r="J42" t="inlineStr">
        <is>
          <t>JH30314-1</t>
        </is>
      </c>
      <c r="K42" t="inlineStr">
        <is>
          <t>JW PEI</t>
        </is>
      </c>
      <c r="L42" t="inlineStr">
        <is>
          <t>PU</t>
        </is>
      </c>
      <c r="M42" t="inlineStr">
        <is>
          <t>58*38*37</t>
        </is>
      </c>
      <c r="N42" t="inlineStr">
        <is>
          <t>境内自主品牌</t>
        </is>
      </c>
      <c r="O42">
        <f>DISPIMG("ID_B676B7170EA44A9FAF2CE1308205B6FF",1)</f>
        <v/>
      </c>
    </row>
    <row r="43" ht="62" customHeight="1">
      <c r="A43" t="inlineStr">
        <is>
          <t>单肩包</t>
        </is>
      </c>
      <c r="B43" t="n">
        <v>40</v>
      </c>
      <c r="C43" t="n">
        <v>2</v>
      </c>
      <c r="D43" t="n">
        <v>9.4</v>
      </c>
      <c r="E43" t="n">
        <v>11.25</v>
      </c>
      <c r="F43" t="n">
        <v>18.8</v>
      </c>
      <c r="G43" t="n">
        <v>22.5</v>
      </c>
      <c r="H43" t="n">
        <v>0.163096</v>
      </c>
      <c r="I43" t="inlineStr">
        <is>
          <t>put things</t>
        </is>
      </c>
      <c r="J43" t="inlineStr">
        <is>
          <t>JH30314-31</t>
        </is>
      </c>
      <c r="K43" t="inlineStr">
        <is>
          <t>JW PEI</t>
        </is>
      </c>
      <c r="L43" t="inlineStr">
        <is>
          <t>帆布</t>
        </is>
      </c>
      <c r="M43" t="inlineStr">
        <is>
          <t>58*38*37</t>
        </is>
      </c>
      <c r="N43" t="inlineStr">
        <is>
          <t>境内自主品牌</t>
        </is>
      </c>
      <c r="O43">
        <f>DISPIMG("ID_FBB1C94B3BD146A191688052CDB2C335",1)</f>
        <v/>
      </c>
    </row>
    <row r="44" ht="18.75" customHeight="1">
      <c r="B44" t="n">
        <v>937</v>
      </c>
      <c r="C44" t="n">
        <v>81</v>
      </c>
      <c r="F44" t="n">
        <v>536.92</v>
      </c>
      <c r="G44" t="n">
        <v>706.8499999999997</v>
      </c>
      <c r="H44" t="n">
        <v>6.160652999999996</v>
      </c>
    </row>
    <row r="45" ht="18.75" customHeight="1"/>
  </sheetData>
  <mergeCells count="2">
    <mergeCell ref="B3:G3"/>
    <mergeCell ref="B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2026-08-05T10:42:21Z</dcterms:created>
  <dcterms:modified xmlns:dcterms="http://purl.org/dc/terms/" xmlns:xsi="http://www.w3.org/2001/XMLSchema-instance" xsi:type="dcterms:W3CDTF">2026-08-05T10:42:21Z</dcterms:modified>
</cp:coreProperties>
</file>